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<sst xmlns="http://schemas.openxmlformats.org/spreadsheetml/2006/main" count="21" uniqueCount="21">
  <si>
    <t>Metric</t>
  </si>
  <si>
    <t>Prior Month (Budget)</t>
  </si>
  <si>
    <t>Current Month (Actual)</t>
  </si>
  <si>
    <t>Change %</t>
  </si>
  <si>
    <t>Total Cloud Spend</t>
  </si>
  <si>
    <t>Daily Active Users (DAU)</t>
  </si>
  <si>
    <t>Total Page Views</t>
  </si>
  <si>
    <t>Platform Revenue</t>
  </si>
  <si>
    <t>Efficiency KPI</t>
  </si>
  <si>
    <t>Prior Month</t>
  </si>
  <si>
    <t>Current Month</t>
  </si>
  <si>
    <t>Formula Used (Documentation)</t>
  </si>
  <si>
    <t>The Formula Used (Documentation)</t>
  </si>
  <si>
    <t>Cost per 1k DAU</t>
  </si>
  <si>
    <t>Spend / (DAU / 1000)</t>
  </si>
  <si>
    <t>Cost per 1M Views</t>
  </si>
  <si>
    <t>Spend / (Views / 1,000,000)</t>
  </si>
  <si>
    <t>Cloud Efficiency Rate</t>
  </si>
  <si>
    <t>Spend / Revenue</t>
  </si>
  <si>
    <t>Executive Summary</t>
  </si>
  <si>
    <r>
      <rPr>
        <rFont val="Arial"/>
        <b val="0"/>
        <color theme="1"/>
      </rPr>
      <t xml:space="preserve">While absolute cloud spend increased by 48%, our Unit Economics improved significantly. The </t>
    </r>
    <r>
      <rPr>
        <rFont val="Arial"/>
        <b/>
        <color theme="1"/>
      </rPr>
      <t>Cost per 1k DAU decreased by 8.4%</t>
    </r>
    <r>
      <rPr>
        <rFont val="Arial"/>
        <b val="0"/>
        <color theme="1"/>
      </rPr>
      <t>, proving that our infrastructure scaling is highly efficient and outperforming our user growth rate.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</si>
</sst>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"/>
    <numFmt numFmtId="165" formatCode="+0.0%;-0.0%;0.0%"/>
    <numFmt numFmtId="166" formatCode="&quot;$&quot;#,##0.00"/>
  </numFmts>
  <fonts count="7">
    <font>
      <sz val="10.0"/>
      <color rgb="FF000000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  <font>
      <color rgb="FF444746"/>
      <name val="&quot;Google Sans Text&quot;"/>
    </font>
    <font>
      <b/>
      <sz val="12.0"/>
      <color theme="1"/>
      <name val="Arial"/>
      <scheme val="minor"/>
    </font>
    <font>
      <b/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7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1" numFmtId="10" xfId="0" applyAlignment="1" applyFont="1" applyNumberFormat="1">
      <alignment readingOrder="0"/>
    </xf>
    <xf borderId="0" fillId="0" fontId="2" numFmtId="10" xfId="0" applyAlignment="1" applyFont="1" applyNumberFormat="1">
      <alignment readingOrder="0"/>
    </xf>
    <xf borderId="0" fillId="0" fontId="4" numFmtId="0" xfId="0" applyAlignment="1" applyFont="1">
      <alignment horizontal="center" readingOrder="0" shrinkToFit="0" vertical="center" wrapText="0"/>
    </xf>
    <xf borderId="1" fillId="0" fontId="5" numFmtId="0" xfId="0" applyAlignment="1" applyBorder="1" applyFont="1">
      <alignment horizontal="center" readingOrder="0" shrinkToFit="0" vertical="center" wrapText="1"/>
    </xf>
    <xf borderId="2" fillId="0" fontId="6" numFmtId="0" xfId="0" applyBorder="1" applyFont="1"/>
    <xf borderId="3" fillId="0" fontId="6" numFmtId="0" xfId="0" applyBorder="1" applyFont="1"/>
    <xf borderId="0" fillId="0" fontId="5" numFmtId="0" xfId="0" applyAlignment="1" applyFont="1">
      <alignment horizontal="center" readingOrder="0" vertical="center"/>
    </xf>
    <xf borderId="4" fillId="0" fontId="6" numFmtId="0" xfId="0" applyBorder="1" applyFont="1"/>
    <xf borderId="5" fillId="0" fontId="6" numFmtId="0" xfId="0" applyBorder="1" applyFont="1"/>
    <xf borderId="6" fillId="0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1F1F1F"/>
                </a:solidFill>
                <a:latin typeface="+mn-lt"/>
              </a:defRPr>
            </a:pPr>
            <a:r>
              <a:rPr b="1">
                <a:solidFill>
                  <a:srgbClr val="1F1F1F"/>
                </a:solidFill>
                <a:latin typeface="+mn-lt"/>
              </a:rPr>
              <a:t>Cloud Scaling Efficiency: Spend vs. Cost per 1k DAU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Sheet1!$A$2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Pt>
            <c:idx val="1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Sheet1!$B$1:$C$1</c:f>
            </c:strRef>
          </c:cat>
          <c:val>
            <c:numRef>
              <c:f>Sheet1!$B$2:$C$2</c:f>
              <c:numCache/>
            </c:numRef>
          </c:val>
        </c:ser>
        <c:axId val="1250520296"/>
        <c:axId val="1168682017"/>
      </c:barChart>
      <c:catAx>
        <c:axId val="12505202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8682017"/>
      </c:catAx>
      <c:valAx>
        <c:axId val="11686820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0520296"/>
      </c:valAx>
      <c:lineChart>
        <c:varyColors val="0"/>
        <c:ser>
          <c:idx val="1"/>
          <c:order val="1"/>
          <c:tx>
            <c:strRef>
              <c:f>Sheet1!$A$7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dPt>
            <c:idx val="0"/>
            <c:marker>
              <c:symbol val="none"/>
            </c:marker>
          </c:dPt>
          <c:dPt>
            <c:idx val="1"/>
            <c:marker>
              <c:symbol val="none"/>
            </c:marker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numFmt formatCode="General" sourceLinked="1"/>
              <c:txPr>
                <a:bodyPr/>
                <a:lstStyle/>
                <a:p>
                  <a:pPr lvl="0">
                    <a:defRPr>
                      <a:solidFill>
                        <a:srgbClr val="1F1F1F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Sheet1!$B$1:$C$1</c:f>
            </c:strRef>
          </c:cat>
          <c:val>
            <c:numRef>
              <c:f>Sheet1!$B$7:$C$7</c:f>
              <c:numCache/>
            </c:numRef>
          </c:val>
          <c:smooth val="0"/>
        </c:ser>
        <c:axId val="867078043"/>
        <c:axId val="1466576604"/>
      </c:lineChart>
      <c:catAx>
        <c:axId val="86707804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6576604"/>
      </c:catAx>
      <c:valAx>
        <c:axId val="1466576604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707804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342900</xdr:colOff>
      <xdr:row>1</xdr:row>
      <xdr:rowOff>104775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25"/>
    <col customWidth="1" min="2" max="2" width="22.63"/>
    <col customWidth="1" min="3" max="3" width="26.38"/>
    <col customWidth="1" min="4" max="4" width="28.63"/>
    <col customWidth="1" min="7" max="7" width="2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>
        <v>355900.0</v>
      </c>
      <c r="C2" s="3">
        <v>526770.0</v>
      </c>
      <c r="D2" s="4">
        <v>0.48</v>
      </c>
    </row>
    <row r="3">
      <c r="A3" s="2" t="s">
        <v>5</v>
      </c>
      <c r="B3" s="5">
        <v>2.6E7</v>
      </c>
      <c r="C3" s="5">
        <v>4.2E7</v>
      </c>
      <c r="D3" s="4">
        <v>0.615</v>
      </c>
    </row>
    <row r="4">
      <c r="A4" s="2" t="s">
        <v>6</v>
      </c>
      <c r="B4" s="5">
        <v>8.0E8</v>
      </c>
      <c r="C4" s="5">
        <v>1.2E9</v>
      </c>
      <c r="D4" s="4">
        <v>0.5</v>
      </c>
    </row>
    <row r="5">
      <c r="A5" s="2" t="s">
        <v>7</v>
      </c>
      <c r="B5" s="3">
        <v>6100000.0</v>
      </c>
      <c r="C5" s="3">
        <v>8400000.0</v>
      </c>
      <c r="D5" s="4">
        <v>0.377</v>
      </c>
    </row>
    <row r="7">
      <c r="A7" s="1" t="s">
        <v>8</v>
      </c>
      <c r="B7" s="1" t="s">
        <v>9</v>
      </c>
      <c r="C7" s="1" t="s">
        <v>10</v>
      </c>
      <c r="D7" s="1" t="s">
        <v>11</v>
      </c>
      <c r="G7" s="1" t="s">
        <v>12</v>
      </c>
    </row>
    <row r="8">
      <c r="A8" s="2" t="s">
        <v>13</v>
      </c>
      <c r="B8" s="6">
        <v>13.69</v>
      </c>
      <c r="C8" s="7">
        <v>12.54</v>
      </c>
      <c r="D8" s="8">
        <f>C2/(C3/1000)</f>
        <v>12.54214286</v>
      </c>
      <c r="G8" s="9" t="s">
        <v>14</v>
      </c>
    </row>
    <row r="9">
      <c r="A9" s="2" t="s">
        <v>15</v>
      </c>
      <c r="B9" s="6">
        <v>444.88</v>
      </c>
      <c r="C9" s="7">
        <v>438.98</v>
      </c>
      <c r="D9" s="8">
        <f>C2/(C4/1000000)</f>
        <v>438.975</v>
      </c>
      <c r="G9" s="9" t="s">
        <v>16</v>
      </c>
    </row>
    <row r="10">
      <c r="A10" s="2" t="s">
        <v>17</v>
      </c>
      <c r="B10" s="10">
        <v>0.0583</v>
      </c>
      <c r="C10" s="11">
        <v>0.0627</v>
      </c>
      <c r="D10" s="9">
        <f>C2/C5</f>
        <v>0.06271071429</v>
      </c>
      <c r="G10" s="9" t="s">
        <v>18</v>
      </c>
    </row>
    <row r="12">
      <c r="A12" s="1"/>
      <c r="B12" s="1"/>
      <c r="C12" s="1"/>
      <c r="D12" s="1"/>
    </row>
    <row r="13" ht="41.25" customHeight="1">
      <c r="A13" s="12" t="s">
        <v>19</v>
      </c>
    </row>
    <row r="14">
      <c r="A14" s="13" t="s">
        <v>20</v>
      </c>
      <c r="B14" s="14"/>
      <c r="C14" s="14"/>
      <c r="D14" s="15"/>
      <c r="E14" s="16"/>
      <c r="F14" s="16"/>
      <c r="G14" s="16"/>
    </row>
    <row r="15">
      <c r="A15" s="17"/>
      <c r="B15" s="18"/>
      <c r="C15" s="18"/>
      <c r="D15" s="19"/>
      <c r="E15" s="16"/>
      <c r="F15" s="16"/>
      <c r="G15" s="16"/>
    </row>
    <row r="16">
      <c r="A16" s="16"/>
      <c r="B16" s="16"/>
      <c r="C16" s="16"/>
      <c r="D16" s="16"/>
      <c r="E16" s="16"/>
      <c r="F16" s="16"/>
      <c r="G16" s="16"/>
    </row>
    <row r="17">
      <c r="A17" s="16"/>
      <c r="B17" s="16"/>
      <c r="C17" s="16"/>
      <c r="D17" s="16"/>
      <c r="E17" s="16"/>
      <c r="F17" s="16"/>
      <c r="G17" s="16"/>
    </row>
    <row r="18">
      <c r="A18" s="16"/>
      <c r="B18" s="16"/>
      <c r="C18" s="16"/>
      <c r="D18" s="16"/>
      <c r="E18" s="16"/>
      <c r="F18" s="16"/>
      <c r="G18" s="16"/>
    </row>
    <row r="19">
      <c r="A19" s="16"/>
      <c r="B19" s="16"/>
      <c r="C19" s="16"/>
      <c r="D19" s="16"/>
      <c r="E19" s="16"/>
      <c r="F19" s="16"/>
      <c r="G19" s="16"/>
    </row>
    <row r="20">
      <c r="A20" s="16"/>
      <c r="B20" s="16"/>
      <c r="C20" s="16"/>
      <c r="D20" s="16"/>
      <c r="E20" s="16"/>
      <c r="F20" s="16"/>
      <c r="G20" s="16"/>
    </row>
  </sheetData>
  <mergeCells count="2">
    <mergeCell ref="A13:D13"/>
    <mergeCell ref="A14:D15"/>
  </mergeCells>
  <drawing r:id="rId1"/>
</worksheet>
</file>